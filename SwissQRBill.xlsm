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checkCompatibility="1"/>
  <xr:revisionPtr revIDLastSave="0" documentId="13_ncr:1_{41904ABC-1DCD-494F-90C9-FCEE15321FE0}" xr6:coauthVersionLast="45" xr6:coauthVersionMax="45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SwissQRCode (old)" sheetId="3" state="hidden" r:id="rId1"/>
    <sheet name="SwissQRCode" sheetId="1" r:id="rId2"/>
    <sheet name="SwissQRCode-Debug" sheetId="2" r:id="rId3"/>
  </sheets>
  <externalReferences>
    <externalReference r:id="rId4"/>
  </externalReferences>
  <definedNames>
    <definedName name="NameAusAdressdaten">[1]!Tabelle1[[#All],[Vor- u. Nachname]]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2" i="1" l="1"/>
  <c r="A42" i="1"/>
  <c r="E42" i="1" l="1"/>
  <c r="B42" i="1" l="1"/>
  <c r="A39" i="1"/>
  <c r="A38" i="1"/>
  <c r="A37" i="1"/>
  <c r="F37" i="1"/>
  <c r="F36" i="1"/>
  <c r="A34" i="1"/>
  <c r="A33" i="1"/>
  <c r="A32" i="1"/>
  <c r="A31" i="1"/>
  <c r="E16" i="3"/>
  <c r="D16" i="3"/>
  <c r="F15" i="3"/>
  <c r="F14" i="3"/>
  <c r="F13" i="3"/>
  <c r="F6" i="3"/>
  <c r="F5" i="3"/>
  <c r="F4" i="3"/>
  <c r="F3" i="3"/>
  <c r="F42" i="1" l="1"/>
  <c r="F41" i="1"/>
  <c r="F40" i="1"/>
  <c r="F33" i="1"/>
  <c r="F32" i="1"/>
  <c r="F31" i="1"/>
  <c r="F30" i="1"/>
</calcChain>
</file>

<file path=xl/sharedStrings.xml><?xml version="1.0" encoding="utf-8"?>
<sst xmlns="http://schemas.openxmlformats.org/spreadsheetml/2006/main" count="251" uniqueCount="95">
  <si>
    <t>Empfangsschein</t>
  </si>
  <si>
    <t>Zahlteil</t>
  </si>
  <si>
    <t>Konto / Zahlbar an</t>
  </si>
  <si>
    <t>Zusätzliche Informationen</t>
  </si>
  <si>
    <t>Zahlbar durch</t>
  </si>
  <si>
    <t>Währung</t>
  </si>
  <si>
    <t>Betrag</t>
  </si>
  <si>
    <t>CHF</t>
  </si>
  <si>
    <t>Annahmestelle</t>
  </si>
  <si>
    <t>fotoleu</t>
  </si>
  <si>
    <t>Christian Imfeld</t>
  </si>
  <si>
    <t>Eichholzweg 9</t>
  </si>
  <si>
    <t>6312 Steinhausen</t>
  </si>
  <si>
    <t>CH04 3078 7007 7190 5090 2</t>
  </si>
  <si>
    <t>Bösch 63, 6331 Hünenberg</t>
  </si>
  <si>
    <t>Inh. Anita Imfeld-Leu</t>
  </si>
  <si>
    <t>Datum 01.10.2020</t>
  </si>
  <si>
    <t>AF1480</t>
  </si>
  <si>
    <t>(A2)</t>
  </si>
  <si>
    <t>(A3)</t>
  </si>
  <si>
    <t>(A4)</t>
  </si>
  <si>
    <t>(A5)</t>
  </si>
  <si>
    <t>(A8)</t>
  </si>
  <si>
    <t>(A9)</t>
  </si>
  <si>
    <t>(A12)</t>
  </si>
  <si>
    <t>(A13)</t>
  </si>
  <si>
    <t>(A14)</t>
  </si>
  <si>
    <t>(A17)</t>
  </si>
  <si>
    <t>CH</t>
  </si>
  <si>
    <t>(A6)</t>
  </si>
  <si>
    <t>(A15)</t>
  </si>
  <si>
    <t>(A18)</t>
  </si>
  <si>
    <t>Exception=Der double-Typ kann nicht implizit in QRCoder.PayloadGenerator.SwissQrCode.Currency konvertiert werden. Es ist bereits eine explizite Konvertierung vorhanden (möglicherweise fehlt eine Umwandlung). at 02.01.2021 15:05:00</t>
  </si>
  <si>
    <r>
      <t xml:space="preserve">Währung: ISO 4217 currency codes: </t>
    </r>
    <r>
      <rPr>
        <b/>
        <sz val="11"/>
        <color theme="1"/>
        <rFont val="Calibri"/>
        <family val="2"/>
        <scheme val="minor"/>
      </rPr>
      <t>CHF</t>
    </r>
    <r>
      <rPr>
        <sz val="11"/>
        <color theme="1"/>
        <rFont val="Calibri"/>
        <family val="2"/>
        <scheme val="minor"/>
      </rPr>
      <t xml:space="preserve"> = 756, </t>
    </r>
    <r>
      <rPr>
        <b/>
        <sz val="11"/>
        <color theme="1"/>
        <rFont val="Calibri"/>
        <family val="2"/>
        <scheme val="minor"/>
      </rPr>
      <t>EUR</t>
    </r>
    <r>
      <rPr>
        <sz val="11"/>
        <color theme="1"/>
        <rFont val="Calibri"/>
        <family val="2"/>
        <scheme val="minor"/>
      </rPr>
      <t xml:space="preserve"> = 978</t>
    </r>
  </si>
  <si>
    <t>QR Code generated! Path=C:\Users\imfeldc\AppData\Local\Temp\qrcode.bmp at 02.01.2021 15:12:08</t>
  </si>
  <si>
    <t xml:space="preserve">Contact: K_x000D_
fotoleu_x000D_
Inh. Anita Imfeld-Leu_x000D_
Bösch 63, 6331 Hünenberg_x000D_
_x000D_
_x000D_
CH_x000D_
</t>
  </si>
  <si>
    <t xml:space="preserve">Debitor: K_x000D_
Christian Imfeld_x000D_
Eichholzweg 9_x000D_
6312 Steinhausen_x000D_
_x000D_
_x000D_
CH_x000D_
</t>
  </si>
  <si>
    <t>Exception=Currency not supported: AUS at 02.01.2021 15:13:13</t>
  </si>
  <si>
    <t>QR Code generated! Path=C:\Users\imfeldc\AppData\Local\Temp\qrcode.bmp at 02.01.2021 15:13:55</t>
  </si>
  <si>
    <t>Contact</t>
  </si>
  <si>
    <t>Debitor</t>
  </si>
  <si>
    <t>Amount</t>
  </si>
  <si>
    <t>QR Code generated! Path=C:\Users\imfeldc\AppData\Local\Temp\qrcode.bmp at 02.01.2021 15:19:27</t>
  </si>
  <si>
    <t>Amount=2222 / Currency=CHF</t>
  </si>
  <si>
    <t>Additional Information: QRCoder.PayloadGenerator+SwissQrCode+AdditionalInformation</t>
  </si>
  <si>
    <t>IBAN: CH0430787007719050902</t>
  </si>
  <si>
    <t>Additional Information</t>
  </si>
  <si>
    <t>IBAN</t>
  </si>
  <si>
    <t>QR Code generated! Path=C:\Users\imfeldc\AppData\Local\Temp\qrcode.bmp at 02.01.2021 15:21:07</t>
  </si>
  <si>
    <t>Amount=12 / Currency=CHF</t>
  </si>
  <si>
    <t>Debug Trace [ON¦OFF]</t>
  </si>
  <si>
    <t>ON</t>
  </si>
  <si>
    <t>Bitmap Location:</t>
  </si>
  <si>
    <t>Left</t>
  </si>
  <si>
    <t>Top</t>
  </si>
  <si>
    <t>Width</t>
  </si>
  <si>
    <t>Height</t>
  </si>
  <si>
    <t>QR Code generated! Path=C:\Users\imfeldc\AppData\Local\Temp\qrcode.bmp at 02.01.2021 15:33:41</t>
  </si>
  <si>
    <t>QR Code generated! Path=C:\Users\imfeldc\AppData\Local\Temp\qrcode.bmp at 02.01.2021 15:34:00</t>
  </si>
  <si>
    <t>QR Code generated! Path=C:\Users\imfeldc\AppData\Local\Temp\qrcode.bmp at 02.01.2021 15:34:08</t>
  </si>
  <si>
    <t>QR Code generated! Path=C:\Users\imfeldc\AppData\Local\Temp\qrcode.bmp at 02.01.2021 15:34:20</t>
  </si>
  <si>
    <t>QR Code generated! Path=C:\Users\imfeldc\AppData\Local\Temp\qrcode.bmp at 02.01.2021 15:34:32</t>
  </si>
  <si>
    <t>QR Code generated! Path=C:\Users\imfeldc\AppData\Local\Temp\qrcode.bmp at 02.01.2021 15:39:37</t>
  </si>
  <si>
    <t>Additional Information: UnstructureMessage=AF1480 / BillInformation=Datum 01.10.2020</t>
  </si>
  <si>
    <t>QR Code generated! Path=C:\Users\imfeldc\AppData\Local\Temp\qrcode.bmp at 02.01.2021 15:40:19</t>
  </si>
  <si>
    <t>QR Code generated! Path=C:\Users\imfeldc\AppData\Local\Temp\qrcode.bmp at 02.01.2021 15:40:25</t>
  </si>
  <si>
    <t>Debug Trace (ab Zeile 20):</t>
  </si>
  <si>
    <t>=UnstructureMessage</t>
  </si>
  <si>
    <t>=BillInformation</t>
  </si>
  <si>
    <t>KF1515</t>
  </si>
  <si>
    <t>QR Code generated! Path=C:\Users\imfeldc\AppData\Local\Temp\qrcode.bmp at 02.01.2021 15:45:39</t>
  </si>
  <si>
    <t>Additional Information: UnstructureMessage=KF1515 / BillInformation=Datum 01.10.2020</t>
  </si>
  <si>
    <t>Bitmap Location</t>
  </si>
  <si>
    <t>(B21)</t>
  </si>
  <si>
    <t>(B22)</t>
  </si>
  <si>
    <t>(B23)</t>
  </si>
  <si>
    <t>(B24)</t>
  </si>
  <si>
    <t>if 0; the QR code will not be displayed</t>
  </si>
  <si>
    <t>Bitmap Path</t>
  </si>
  <si>
    <t>(A26)</t>
  </si>
  <si>
    <t>C:\Users\imfeldc\source\repos\SwissQRCodeExcel4\qrcode.bmp</t>
  </si>
  <si>
    <t>QR Code generated! Path=C:\Users\imfeldc\AppData\Local\Temp\qrcode.bmp / AltPath=C:\Users\imfeldc\source\repos\SwissQRCodeExcel4\qrcode.bmp at 02.01.2021 15:57:42</t>
  </si>
  <si>
    <t>QR Code generated! Path=C:\Users\imfeldc\AppData\Local\Temp\qrcode.bmp / AltPath=C:\Users\imfeldc\source\repos\SwissQRCodeExcel4\qrcode.bmp at 02.01.2021 15:58:20</t>
  </si>
  <si>
    <t>QR Code generated! Path=C:\Users\imfeldc\AppData\Local\Temp\qrcode.bmp / AltPath=C:\Users\imfeldc\source\repos\SwissQRCodeExcel4\qrcode.bmp at 02.01.2021 15:59:31</t>
  </si>
  <si>
    <t>QR Code generated! Path=C:\Users\imfeldc\AppData\Local\Temp\qrcode.bmp / AltPath=C:\Users\imfeldc\source\repos\SwissQRCodeExcel4\qrcode.bmp at 02.01.2021 15:59:42</t>
  </si>
  <si>
    <t>QR Code generated! Path=C:\Users\imfeldc\AppData\Local\Temp\qrcode.bmp / AltPath=C:\Users\imfeldc\source\repos\SwissQRCodeExcel4\qrcode.bmp at 02.01.2021 16:00:07</t>
  </si>
  <si>
    <t>QR Code generated! Path=C:\Users\imfeldc\AppData\Local\Temp\qrcode.bmp / AltPath=C:\Users\imfeldc\source\repos\SwissQRCodeExcel4\qrcode.bmp at 02.01.2021 16:00:20</t>
  </si>
  <si>
    <t>QR Code generated! Path=C:\Users\imfeldc\AppData\Local\Temp\qrcode.bmp / AltPath=C:\Users\imfeldc\source\repos\SwissQRCodeExcel4\qrcode.bmp at 02.01.2021 16:00:37</t>
  </si>
  <si>
    <t>QR Code generated! Path=C:\Users\imfeldc\AppData\Local\Temp\qrcode.bmp / AltPath=C:\Users\imfeldc\source\repos\SwissQRCodeExcel4\qrcode.bmp at 02.01.2021 16:00:45</t>
  </si>
  <si>
    <t>QR Code generated! Path=C:\Users\imfeldc\AppData\Local\Temp\qrcode.bmp / AltPath=C:\Users\imfeldc\source\repos\SwissQRCodeExcel4\qrcode.bmp at 02.01.2021 16:00:57</t>
  </si>
  <si>
    <t>QR Code generated! Path=C:\Users\imfeldc\AppData\Local\Temp\qrcode.bmp / AltPath=C:\Users\imfeldc\source\repos\SwissQRCodeExcel4\qrcode.bmp at 02.01.2021 16:01:45</t>
  </si>
  <si>
    <t>QR Code generated! Path=C:\Users\imfeldc\AppData\Local\Temp\qrcode.bmp / AltPath=C:\Users\imfeldc\source\repos\SwissQRCodeExcel4\qrcode.bmp at 02.01.2021 16:01:53</t>
  </si>
  <si>
    <t>QR Code generated! Path=C:\Users\imfeldc\AppData\Local\Temp\qrcode.bmp / AltPath=C:\Users\imfeldc\source\repos\SwissQRCodeExcel4\qrcode.bmp at 02.01.2021 16:03:22</t>
  </si>
  <si>
    <t>QR Code generated! Path=C:\Users\imfeldc\AppData\Local\Temp\qrcode.bmp / AltPath=C:\Users\imfeldc\source\repos\SwissQRCodeExcel4\qrcode.bmp at 02.01.2021 16:04:31</t>
  </si>
  <si>
    <t>QR Code generated! Path=C:\Users\imfeldc\AppData\Local\Temp\qrcode.bmp / AltPath=C:\Users\imfeldc\source\repos\SwissQRCodeExcel4\qrcode.bmp at 02.01.2021 21:54:25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</si>
</sst>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6"/>
      <color theme="1"/>
      <name val="Arial"/>
      <family val="2"/>
    </font>
    <font>
      <b/>
      <sz val="8"/>
      <color theme="1"/>
      <name val="Arial"/>
      <family val="2"/>
    </font>
    <font>
      <b/>
      <sz val="6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Trebuchet MS"/>
      <family val="2"/>
    </font>
    <font>
      <b/>
      <sz val="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14" fontId="2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left"/>
    </xf>
    <xf numFmtId="0" fontId="0" fillId="0" borderId="0" xfId="0" applyAlignment="1"/>
    <xf numFmtId="0" fontId="15" fillId="0" borderId="0" xfId="0" applyFont="1" applyAlignment="1"/>
    <xf numFmtId="0" fontId="15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6" fillId="0" borderId="0" xfId="0" applyFont="1" applyAlignment="1"/>
    <xf numFmtId="0" fontId="16" fillId="0" borderId="0" xfId="0" applyFont="1"/>
    <xf numFmtId="0" fontId="0" fillId="0" borderId="0" xfId="0" applyAlignment="1">
      <alignment horizontal="right"/>
    </xf>
    <xf numFmtId="0" fontId="17" fillId="0" borderId="0" xfId="0" applyFont="1" applyAlignme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1052497</xdr:colOff>
      <xdr:row>0</xdr:row>
      <xdr:rowOff>33326</xdr:rowOff>
    </xdr:from>
    <xdr:to>
      <xdr:col>2</xdr:col>
      <xdr:colOff>1071547</xdr:colOff>
      <xdr:row>21</xdr:row>
      <xdr:rowOff>98576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4A16E124-40E7-4C7E-A028-36C0E2DF002E}"/>
            </a:ext>
          </a:extLst>
        </xdr:cNvPr>
        <xdr:cNvCxnSpPr/>
      </xdr:nvCxnSpPr>
      <xdr:spPr>
        <a:xfrm>
          <a:off x="2138347" y="33326"/>
          <a:ext cx="19050" cy="3999075"/>
        </a:xfrm>
        <a:prstGeom prst="line">
          <a:avLst/>
        </a:prstGeom>
        <a:ln>
          <a:prstDash val="sys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4760</xdr:colOff>
      <xdr:row>0</xdr:row>
      <xdr:rowOff>38088</xdr:rowOff>
    </xdr:from>
    <xdr:to>
      <xdr:col>8</xdr:col>
      <xdr:colOff>592460</xdr:colOff>
      <xdr:row>0</xdr:row>
      <xdr:rowOff>47625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9F5B9C1-62CA-4654-872B-249D5AEEC541}"/>
            </a:ext>
          </a:extLst>
        </xdr:cNvPr>
        <xdr:cNvCxnSpPr/>
      </xdr:nvCxnSpPr>
      <xdr:spPr>
        <a:xfrm>
          <a:off x="4760" y="38088"/>
          <a:ext cx="7693350" cy="9537"/>
        </a:xfrm>
        <a:prstGeom prst="line">
          <a:avLst/>
        </a:prstGeom>
        <a:ln>
          <a:prstDash val="sys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</xdr:row>
      <xdr:rowOff>90488</xdr:rowOff>
    </xdr:from>
    <xdr:to>
      <xdr:col>2</xdr:col>
      <xdr:colOff>1069950</xdr:colOff>
      <xdr:row>21</xdr:row>
      <xdr:rowOff>90497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0FA5EEC-B5E8-419B-94CC-BC012F92AA72}"/>
            </a:ext>
          </a:extLst>
        </xdr:cNvPr>
        <xdr:cNvCxnSpPr/>
      </xdr:nvCxnSpPr>
      <xdr:spPr>
        <a:xfrm>
          <a:off x="0" y="4024313"/>
          <a:ext cx="2155800" cy="9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1076369</xdr:colOff>
      <xdr:row>21</xdr:row>
      <xdr:rowOff>90485</xdr:rowOff>
    </xdr:from>
    <xdr:to>
      <xdr:col>8</xdr:col>
      <xdr:colOff>585788</xdr:colOff>
      <xdr:row>21</xdr:row>
      <xdr:rowOff>90488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808CCD4-DCEC-4966-B534-30352CE787A1}"/>
            </a:ext>
          </a:extLst>
        </xdr:cNvPr>
        <xdr:cNvCxnSpPr/>
      </xdr:nvCxnSpPr>
      <xdr:spPr>
        <a:xfrm>
          <a:off x="2162219" y="4024310"/>
          <a:ext cx="5529219" cy="3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9526</xdr:colOff>
      <xdr:row>11</xdr:row>
      <xdr:rowOff>100013</xdr:rowOff>
    </xdr:from>
    <xdr:to>
      <xdr:col>4</xdr:col>
      <xdr:colOff>871538</xdr:colOff>
      <xdr:row>11</xdr:row>
      <xdr:rowOff>100019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C98E352-28F8-4974-AFED-01F4A613ABCA}"/>
            </a:ext>
          </a:extLst>
        </xdr:cNvPr>
        <xdr:cNvCxnSpPr/>
      </xdr:nvCxnSpPr>
      <xdr:spPr>
        <a:xfrm flipV="1">
          <a:off x="2238376" y="2147888"/>
          <a:ext cx="1433512" cy="6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</xdr:colOff>
      <xdr:row>2</xdr:row>
      <xdr:rowOff>161927</xdr:rowOff>
    </xdr:from>
    <xdr:to>
      <xdr:col>4</xdr:col>
      <xdr:colOff>876299</xdr:colOff>
      <xdr:row>2</xdr:row>
      <xdr:rowOff>161933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5431BF-548C-4721-98D7-3296E1EB0BB2}"/>
            </a:ext>
          </a:extLst>
        </xdr:cNvPr>
        <xdr:cNvCxnSpPr/>
      </xdr:nvCxnSpPr>
      <xdr:spPr>
        <a:xfrm flipV="1">
          <a:off x="2243137" y="600077"/>
          <a:ext cx="1433512" cy="6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9524</xdr:colOff>
      <xdr:row>2</xdr:row>
      <xdr:rowOff>157169</xdr:rowOff>
    </xdr:from>
    <xdr:to>
      <xdr:col>3</xdr:col>
      <xdr:colOff>9525</xdr:colOff>
      <xdr:row>11</xdr:row>
      <xdr:rowOff>104775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6485EC8-B54C-47A2-A866-C0D0CC10A02D}"/>
            </a:ext>
          </a:extLst>
        </xdr:cNvPr>
        <xdr:cNvCxnSpPr/>
      </xdr:nvCxnSpPr>
      <xdr:spPr>
        <a:xfrm>
          <a:off x="2238374" y="595319"/>
          <a:ext cx="1" cy="1557331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866775</xdr:colOff>
      <xdr:row>2</xdr:row>
      <xdr:rowOff>166688</xdr:rowOff>
    </xdr:from>
    <xdr:to>
      <xdr:col>4</xdr:col>
      <xdr:colOff>876300</xdr:colOff>
      <xdr:row>11</xdr:row>
      <xdr:rowOff>100013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D5F7FC9-B9EC-48F5-9793-A77F0658618A}"/>
            </a:ext>
          </a:extLst>
        </xdr:cNvPr>
        <xdr:cNvCxnSpPr/>
      </xdr:nvCxnSpPr>
      <xdr:spPr>
        <a:xfrm>
          <a:off x="3667125" y="604838"/>
          <a:ext cx="9525" cy="1543050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57150</xdr:colOff>
      <xdr:row>2</xdr:row>
      <xdr:rowOff>69850</xdr:rowOff>
    </xdr:from>
    <xdr:to>
      <xdr:col>4</xdr:col>
      <xdr:colOff>1263650</xdr:colOff>
      <xdr:row>12</xdr:row>
      <xdr:rowOff>57150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FD1388-1EDA-463D-AF7D-5F1E77ABD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08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2</xdr:row>
      <xdr:rowOff>69850</xdr:rowOff>
    </xdr:from>
    <xdr:to>
      <xdr:col>4</xdr:col>
      <xdr:colOff>1263650</xdr:colOff>
      <xdr:row>12</xdr:row>
      <xdr:rowOff>57150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0BE659-B3CB-4E0D-8985-341AF43AA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08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2</xdr:row>
      <xdr:rowOff>69850</xdr:rowOff>
    </xdr:from>
    <xdr:to>
      <xdr:col>4</xdr:col>
      <xdr:colOff>1263650</xdr:colOff>
      <xdr:row>12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C25AF16-6C59-4D4D-83A3-E2B42E17E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08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2</xdr:row>
      <xdr:rowOff>69850</xdr:rowOff>
    </xdr:from>
    <xdr:to>
      <xdr:col>4</xdr:col>
      <xdr:colOff>1263650</xdr:colOff>
      <xdr:row>12</xdr:row>
      <xdr:rowOff>57150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D3C4327-DF38-4066-8EF4-098B1FA43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08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2</xdr:row>
      <xdr:rowOff>69850</xdr:rowOff>
    </xdr:from>
    <xdr:to>
      <xdr:col>4</xdr:col>
      <xdr:colOff>1263650</xdr:colOff>
      <xdr:row>12</xdr:row>
      <xdr:rowOff>57150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AA1C99A-FB23-4408-AF76-D6229E0A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0800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1052497</xdr:colOff>
      <xdr:row>27</xdr:row>
      <xdr:rowOff>33326</xdr:rowOff>
    </xdr:from>
    <xdr:to>
      <xdr:col>2</xdr:col>
      <xdr:colOff>1071547</xdr:colOff>
      <xdr:row>47</xdr:row>
      <xdr:rowOff>98576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84E5B6D2-CB45-498E-A049-A01B2A1CF748}"/>
            </a:ext>
          </a:extLst>
        </xdr:cNvPr>
        <xdr:cNvCxnSpPr/>
      </xdr:nvCxnSpPr>
      <xdr:spPr>
        <a:xfrm>
          <a:off x="2214547" y="33326"/>
          <a:ext cx="19050" cy="3780000"/>
        </a:xfrm>
        <a:prstGeom prst="line">
          <a:avLst/>
        </a:prstGeom>
        <a:ln>
          <a:prstDash val="sys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4760</xdr:colOff>
      <xdr:row>27</xdr:row>
      <xdr:rowOff>38088</xdr:rowOff>
    </xdr:from>
    <xdr:to>
      <xdr:col>8</xdr:col>
      <xdr:colOff>592460</xdr:colOff>
      <xdr:row>27</xdr:row>
      <xdr:rowOff>47625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9921A474-7CB3-40D7-8305-8CA50EFC1BFA}"/>
            </a:ext>
          </a:extLst>
        </xdr:cNvPr>
        <xdr:cNvCxnSpPr/>
      </xdr:nvCxnSpPr>
      <xdr:spPr>
        <a:xfrm>
          <a:off x="4760" y="38088"/>
          <a:ext cx="7560000" cy="9537"/>
        </a:xfrm>
        <a:prstGeom prst="line">
          <a:avLst/>
        </a:prstGeom>
        <a:ln>
          <a:prstDash val="sys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90488</xdr:rowOff>
    </xdr:from>
    <xdr:to>
      <xdr:col>2</xdr:col>
      <xdr:colOff>1069950</xdr:colOff>
      <xdr:row>47</xdr:row>
      <xdr:rowOff>90497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C998E7D-0769-4ADC-9760-8D8EABE5F5DA}"/>
            </a:ext>
          </a:extLst>
        </xdr:cNvPr>
        <xdr:cNvCxnSpPr/>
      </xdr:nvCxnSpPr>
      <xdr:spPr>
        <a:xfrm>
          <a:off x="0" y="3805238"/>
          <a:ext cx="2232000" cy="9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1076369</xdr:colOff>
      <xdr:row>47</xdr:row>
      <xdr:rowOff>90485</xdr:rowOff>
    </xdr:from>
    <xdr:to>
      <xdr:col>8</xdr:col>
      <xdr:colOff>585788</xdr:colOff>
      <xdr:row>47</xdr:row>
      <xdr:rowOff>90488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4DB04C3-F8C0-4F6D-AA94-CCD199CC6745}"/>
            </a:ext>
          </a:extLst>
        </xdr:cNvPr>
        <xdr:cNvCxnSpPr/>
      </xdr:nvCxnSpPr>
      <xdr:spPr>
        <a:xfrm>
          <a:off x="2162219" y="8986835"/>
          <a:ext cx="5529219" cy="3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9526</xdr:colOff>
      <xdr:row>38</xdr:row>
      <xdr:rowOff>100013</xdr:rowOff>
    </xdr:from>
    <xdr:to>
      <xdr:col>4</xdr:col>
      <xdr:colOff>871538</xdr:colOff>
      <xdr:row>38</xdr:row>
      <xdr:rowOff>100019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98ED749-699A-483A-9FE0-F382338E4768}"/>
            </a:ext>
          </a:extLst>
        </xdr:cNvPr>
        <xdr:cNvCxnSpPr/>
      </xdr:nvCxnSpPr>
      <xdr:spPr>
        <a:xfrm flipV="1">
          <a:off x="2400301" y="2062163"/>
          <a:ext cx="1476375" cy="6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</xdr:colOff>
      <xdr:row>29</xdr:row>
      <xdr:rowOff>161927</xdr:rowOff>
    </xdr:from>
    <xdr:to>
      <xdr:col>4</xdr:col>
      <xdr:colOff>876299</xdr:colOff>
      <xdr:row>29</xdr:row>
      <xdr:rowOff>161933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8A8893FB-D1C5-42CD-AEEE-D70FE91D7D90}"/>
            </a:ext>
          </a:extLst>
        </xdr:cNvPr>
        <xdr:cNvCxnSpPr/>
      </xdr:nvCxnSpPr>
      <xdr:spPr>
        <a:xfrm flipV="1">
          <a:off x="2405062" y="590552"/>
          <a:ext cx="1476375" cy="6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9524</xdr:colOff>
      <xdr:row>29</xdr:row>
      <xdr:rowOff>157169</xdr:rowOff>
    </xdr:from>
    <xdr:to>
      <xdr:col>3</xdr:col>
      <xdr:colOff>9525</xdr:colOff>
      <xdr:row>38</xdr:row>
      <xdr:rowOff>104775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1D042FF3-2C09-4407-975C-14E67C069851}"/>
            </a:ext>
          </a:extLst>
        </xdr:cNvPr>
        <xdr:cNvCxnSpPr/>
      </xdr:nvCxnSpPr>
      <xdr:spPr>
        <a:xfrm>
          <a:off x="2400299" y="585794"/>
          <a:ext cx="1" cy="1481131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866775</xdr:colOff>
      <xdr:row>29</xdr:row>
      <xdr:rowOff>166688</xdr:rowOff>
    </xdr:from>
    <xdr:to>
      <xdr:col>4</xdr:col>
      <xdr:colOff>876300</xdr:colOff>
      <xdr:row>38</xdr:row>
      <xdr:rowOff>100013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86C041CA-4283-41EE-A524-80F51D67F9C6}"/>
            </a:ext>
          </a:extLst>
        </xdr:cNvPr>
        <xdr:cNvCxnSpPr/>
      </xdr:nvCxnSpPr>
      <xdr:spPr>
        <a:xfrm>
          <a:off x="3871913" y="595313"/>
          <a:ext cx="9525" cy="1466850"/>
        </a:xfrm>
        <a:prstGeom prst="line">
          <a:avLst/>
        </a:prstGeom>
        <a:ln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1136650</xdr:colOff>
      <xdr:row>29</xdr:row>
      <xdr:rowOff>133350</xdr:rowOff>
    </xdr:from>
    <xdr:to>
      <xdr:col>4</xdr:col>
      <xdr:colOff>1200150</xdr:colOff>
      <xdr:row>39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C2D5F63-9D39-443F-A2C7-9B4DFA0DC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5715000"/>
          <a:ext cx="1778000" cy="177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254000</xdr:colOff>
      <xdr:row>1</xdr:row>
      <xdr:rowOff>63500</xdr:rowOff>
    </xdr:from>
    <xdr:to>
      <xdr:col>0</xdr:col>
      <xdr:colOff>3048000</xdr:colOff>
      <xdr:row>16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B44F28-1024-453A-848E-FCA1B29B9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254000"/>
          <a:ext cx="2794000" cy="279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chb/Desktop/RECHNUNGSWESEN%20f&#252;r%20Q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  <sheetName val="Stammdaten"/>
      <sheetName val="Zeiterf Leistungen"/>
      <sheetName val="Selbst Säck"/>
      <sheetName val="KK Säck"/>
      <sheetName val="KK Basel"/>
      <sheetName val="QR Rechnung Basel"/>
      <sheetName val="Pivot Rechnungsnummern"/>
      <sheetName val="Auswertungen pro Mo"/>
      <sheetName val="Listen"/>
      <sheetName val="Terminvergabe"/>
      <sheetName val="RECHNUNGSWESEN für Q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19CE5-4F1B-46B5-AF2C-9599BF44D343}">
  <sheetPr codeName="Sheet2"/>
  <dimension ref="A1:G25"/>
  <sheetViews>
    <sheetView workbookViewId="0">
      <selection activeCell="B17" sqref="B17"/>
    </sheetView>
  </sheetViews>
  <sheetFormatPr defaultColWidth="10.7109375" defaultRowHeight="15" x14ac:dyDescent="0.25"/>
  <cols>
    <col min="1" max="1" width="8.42578125" customWidth="1"/>
    <col min="2" max="2" width="7.85546875" customWidth="1"/>
    <col min="3" max="3" width="17.140625" customWidth="1"/>
    <col min="4" max="4" width="8.5703125" customWidth="1"/>
    <col min="5" max="5" width="26.140625" customWidth="1"/>
    <col min="6" max="6" width="10.7109375" style="13"/>
    <col min="7" max="7" width="17" customWidth="1"/>
  </cols>
  <sheetData>
    <row r="1" spans="1:7" s="1" customFormat="1" ht="14.25" x14ac:dyDescent="0.2">
      <c r="F1" s="2"/>
    </row>
    <row r="2" spans="1:7" s="1" customFormat="1" ht="20.25" x14ac:dyDescent="0.3">
      <c r="A2" s="3" t="s">
        <v>0</v>
      </c>
      <c r="B2" s="3"/>
      <c r="C2" s="4"/>
      <c r="D2" s="3" t="s">
        <v>1</v>
      </c>
      <c r="F2" s="5" t="s">
        <v>2</v>
      </c>
    </row>
    <row r="3" spans="1:7" s="1" customFormat="1" ht="14.25" x14ac:dyDescent="0.2">
      <c r="A3" s="6" t="s">
        <v>2</v>
      </c>
      <c r="F3" s="16" t="str">
        <f>A4</f>
        <v>CH04 3078 7007 7190 5090 2</v>
      </c>
    </row>
    <row r="4" spans="1:7" s="7" customFormat="1" ht="12.75" x14ac:dyDescent="0.2">
      <c r="A4" s="7" t="s">
        <v>13</v>
      </c>
      <c r="B4" s="5"/>
      <c r="F4" s="16" t="str">
        <f>A5</f>
        <v>fotoleu</v>
      </c>
    </row>
    <row r="5" spans="1:7" s="1" customFormat="1" ht="14.25" x14ac:dyDescent="0.2">
      <c r="A5" s="7" t="s">
        <v>9</v>
      </c>
      <c r="B5" s="2"/>
      <c r="F5" s="16" t="str">
        <f>A6</f>
        <v>Inh. Anita Imfeld-Leu</v>
      </c>
    </row>
    <row r="6" spans="1:7" s="1" customFormat="1" ht="14.25" x14ac:dyDescent="0.2">
      <c r="A6" s="7" t="s">
        <v>15</v>
      </c>
      <c r="B6" s="2"/>
      <c r="F6" s="16" t="str">
        <f>A7</f>
        <v>Bösch 63, 6331 Hünenberg</v>
      </c>
    </row>
    <row r="7" spans="1:7" s="1" customFormat="1" ht="14.25" x14ac:dyDescent="0.2">
      <c r="A7" s="7" t="s">
        <v>14</v>
      </c>
      <c r="B7" s="2"/>
      <c r="F7" s="2"/>
    </row>
    <row r="8" spans="1:7" s="1" customFormat="1" ht="14.25" x14ac:dyDescent="0.2">
      <c r="A8" s="7"/>
      <c r="F8" s="5" t="s">
        <v>3</v>
      </c>
    </row>
    <row r="9" spans="1:7" s="1" customFormat="1" ht="14.25" x14ac:dyDescent="0.2">
      <c r="A9" s="6" t="s">
        <v>4</v>
      </c>
      <c r="F9" s="2" t="s">
        <v>17</v>
      </c>
    </row>
    <row r="10" spans="1:7" s="1" customFormat="1" ht="14.25" x14ac:dyDescent="0.2">
      <c r="A10" s="7" t="s">
        <v>10</v>
      </c>
      <c r="B10" s="5"/>
      <c r="F10" s="2" t="s">
        <v>16</v>
      </c>
      <c r="G10" s="8"/>
    </row>
    <row r="11" spans="1:7" s="1" customFormat="1" ht="14.25" x14ac:dyDescent="0.2">
      <c r="A11" s="7" t="s">
        <v>11</v>
      </c>
      <c r="B11" s="2"/>
      <c r="F11" s="2"/>
    </row>
    <row r="12" spans="1:7" s="1" customFormat="1" ht="14.25" x14ac:dyDescent="0.2">
      <c r="A12" s="7" t="s">
        <v>12</v>
      </c>
      <c r="B12" s="2"/>
      <c r="F12" s="5" t="s">
        <v>4</v>
      </c>
    </row>
    <row r="13" spans="1:7" s="1" customFormat="1" ht="14.25" x14ac:dyDescent="0.2">
      <c r="A13" s="7"/>
      <c r="B13" s="5"/>
      <c r="F13" s="16" t="str">
        <f>A10</f>
        <v>Christian Imfeld</v>
      </c>
    </row>
    <row r="14" spans="1:7" s="1" customFormat="1" ht="14.25" x14ac:dyDescent="0.2">
      <c r="A14" s="7"/>
      <c r="B14" s="2"/>
      <c r="F14" s="16" t="str">
        <f>A11</f>
        <v>Eichholzweg 9</v>
      </c>
    </row>
    <row r="15" spans="1:7" s="1" customFormat="1" ht="14.25" x14ac:dyDescent="0.2">
      <c r="A15" s="6" t="s">
        <v>5</v>
      </c>
      <c r="B15" s="6" t="s">
        <v>6</v>
      </c>
      <c r="D15" s="5" t="s">
        <v>5</v>
      </c>
      <c r="E15" s="5" t="s">
        <v>6</v>
      </c>
      <c r="F15" s="16" t="str">
        <f>A12</f>
        <v>6312 Steinhausen</v>
      </c>
    </row>
    <row r="16" spans="1:7" s="1" customFormat="1" ht="14.25" x14ac:dyDescent="0.2">
      <c r="A16" s="7" t="s">
        <v>7</v>
      </c>
      <c r="B16" s="9">
        <v>999</v>
      </c>
      <c r="D16" s="2" t="str">
        <f>A16</f>
        <v>CHF</v>
      </c>
      <c r="E16" s="17">
        <f>B16</f>
        <v>999</v>
      </c>
      <c r="F16" s="2"/>
    </row>
    <row r="17" spans="1:6" s="1" customFormat="1" ht="14.25" x14ac:dyDescent="0.2">
      <c r="A17" s="7"/>
      <c r="B17" s="9"/>
      <c r="D17" s="2"/>
      <c r="E17" s="10"/>
      <c r="F17" s="2"/>
    </row>
    <row r="18" spans="1:6" s="1" customFormat="1" ht="16.5" x14ac:dyDescent="0.3">
      <c r="A18" s="11"/>
      <c r="B18"/>
      <c r="C18" s="12" t="s">
        <v>8</v>
      </c>
      <c r="D18"/>
      <c r="F18" s="2"/>
    </row>
    <row r="19" spans="1:6" s="1" customFormat="1" ht="16.5" x14ac:dyDescent="0.3">
      <c r="B19" s="11"/>
      <c r="D19"/>
      <c r="E19"/>
      <c r="F19" s="2"/>
    </row>
    <row r="20" spans="1:6" s="1" customFormat="1" x14ac:dyDescent="0.25">
      <c r="A20"/>
      <c r="F20" s="2"/>
    </row>
    <row r="22" spans="1:6" ht="16.5" x14ac:dyDescent="0.3">
      <c r="A22" s="11"/>
    </row>
    <row r="23" spans="1:6" ht="16.5" x14ac:dyDescent="0.3">
      <c r="A23" s="11"/>
      <c r="B23" s="11"/>
    </row>
    <row r="24" spans="1:6" ht="16.5" x14ac:dyDescent="0.3">
      <c r="A24" s="14"/>
      <c r="B24" s="11"/>
    </row>
    <row r="25" spans="1:6" s="14" customFormat="1" x14ac:dyDescent="0.25">
      <c r="A25"/>
      <c r="F25" s="1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2"/>
  <sheetViews>
    <sheetView workbookViewId="0">
      <selection activeCell="E47" sqref="E47"/>
    </sheetView>
  </sheetViews>
  <sheetFormatPr defaultColWidth="10.7109375" defaultRowHeight="15" x14ac:dyDescent="0.25"/>
  <cols>
    <col min="1" max="1" width="8.42578125" customWidth="1"/>
    <col min="2" max="2" width="7.85546875" customWidth="1"/>
    <col min="3" max="3" width="17.140625" customWidth="1"/>
    <col min="4" max="4" width="8.5703125" customWidth="1"/>
    <col min="5" max="5" width="26.140625" customWidth="1"/>
    <col min="6" max="6" width="10.7109375" style="13"/>
    <col min="7" max="7" width="17" customWidth="1"/>
  </cols>
  <sheetData>
    <row r="1" spans="1:5" x14ac:dyDescent="0.25">
      <c r="A1" s="5" t="s">
        <v>2</v>
      </c>
    </row>
    <row r="2" spans="1:5" x14ac:dyDescent="0.25">
      <c r="A2" s="7" t="s">
        <v>13</v>
      </c>
      <c r="D2" t="s">
        <v>18</v>
      </c>
    </row>
    <row r="3" spans="1:5" x14ac:dyDescent="0.25">
      <c r="A3" s="7" t="s">
        <v>9</v>
      </c>
      <c r="D3" t="s">
        <v>19</v>
      </c>
    </row>
    <row r="4" spans="1:5" x14ac:dyDescent="0.25">
      <c r="A4" s="7" t="s">
        <v>15</v>
      </c>
      <c r="D4" t="s">
        <v>20</v>
      </c>
    </row>
    <row r="5" spans="1:5" x14ac:dyDescent="0.25">
      <c r="A5" s="7" t="s">
        <v>14</v>
      </c>
      <c r="D5" t="s">
        <v>21</v>
      </c>
    </row>
    <row r="6" spans="1:5" x14ac:dyDescent="0.25">
      <c r="A6" s="7" t="s">
        <v>28</v>
      </c>
      <c r="D6" t="s">
        <v>29</v>
      </c>
    </row>
    <row r="7" spans="1:5" x14ac:dyDescent="0.25">
      <c r="A7" s="5" t="s">
        <v>3</v>
      </c>
    </row>
    <row r="8" spans="1:5" x14ac:dyDescent="0.25">
      <c r="A8" s="2" t="s">
        <v>69</v>
      </c>
      <c r="D8" t="s">
        <v>22</v>
      </c>
      <c r="E8" s="27" t="s">
        <v>67</v>
      </c>
    </row>
    <row r="9" spans="1:5" x14ac:dyDescent="0.25">
      <c r="A9" s="2" t="s">
        <v>16</v>
      </c>
      <c r="D9" t="s">
        <v>23</v>
      </c>
      <c r="E9" s="27" t="s">
        <v>68</v>
      </c>
    </row>
    <row r="10" spans="1:5" x14ac:dyDescent="0.25">
      <c r="A10" s="2"/>
    </row>
    <row r="11" spans="1:5" x14ac:dyDescent="0.25">
      <c r="A11" s="5" t="s">
        <v>4</v>
      </c>
    </row>
    <row r="12" spans="1:5" x14ac:dyDescent="0.25">
      <c r="A12" s="7" t="s">
        <v>10</v>
      </c>
      <c r="D12" t="s">
        <v>24</v>
      </c>
    </row>
    <row r="13" spans="1:5" x14ac:dyDescent="0.25">
      <c r="A13" s="7" t="s">
        <v>11</v>
      </c>
      <c r="D13" t="s">
        <v>25</v>
      </c>
    </row>
    <row r="14" spans="1:5" x14ac:dyDescent="0.25">
      <c r="A14" s="7" t="s">
        <v>12</v>
      </c>
      <c r="D14" t="s">
        <v>26</v>
      </c>
    </row>
    <row r="15" spans="1:5" x14ac:dyDescent="0.25">
      <c r="A15" s="7" t="s">
        <v>28</v>
      </c>
      <c r="D15" t="s">
        <v>30</v>
      </c>
    </row>
    <row r="16" spans="1:5" x14ac:dyDescent="0.25">
      <c r="A16" s="5" t="s">
        <v>6</v>
      </c>
    </row>
    <row r="17" spans="1:6" x14ac:dyDescent="0.25">
      <c r="A17" s="9">
        <v>12</v>
      </c>
      <c r="D17" t="s">
        <v>27</v>
      </c>
    </row>
    <row r="18" spans="1:6" x14ac:dyDescent="0.25">
      <c r="A18" s="9" t="s">
        <v>7</v>
      </c>
      <c r="D18" t="s">
        <v>31</v>
      </c>
      <c r="E18" t="s">
        <v>33</v>
      </c>
    </row>
    <row r="19" spans="1:6" x14ac:dyDescent="0.25">
      <c r="A19" s="9"/>
    </row>
    <row r="20" spans="1:6" x14ac:dyDescent="0.25">
      <c r="A20" s="5" t="s">
        <v>72</v>
      </c>
    </row>
    <row r="21" spans="1:6" x14ac:dyDescent="0.25">
      <c r="A21" s="9" t="s">
        <v>53</v>
      </c>
      <c r="B21" s="9">
        <v>175</v>
      </c>
      <c r="D21" t="s">
        <v>73</v>
      </c>
      <c r="E21" t="s">
        <v>77</v>
      </c>
    </row>
    <row r="22" spans="1:6" x14ac:dyDescent="0.25">
      <c r="A22" s="9" t="s">
        <v>54</v>
      </c>
      <c r="B22" s="9">
        <v>450</v>
      </c>
      <c r="D22" t="s">
        <v>74</v>
      </c>
    </row>
    <row r="23" spans="1:6" x14ac:dyDescent="0.25">
      <c r="A23" s="9" t="s">
        <v>55</v>
      </c>
      <c r="B23" s="9">
        <v>140</v>
      </c>
      <c r="D23" t="s">
        <v>75</v>
      </c>
    </row>
    <row r="24" spans="1:6" x14ac:dyDescent="0.25">
      <c r="A24" s="9" t="s">
        <v>56</v>
      </c>
      <c r="B24" s="9">
        <v>140</v>
      </c>
      <c r="D24" t="s">
        <v>76</v>
      </c>
    </row>
    <row r="25" spans="1:6" x14ac:dyDescent="0.25">
      <c r="A25" s="5" t="s">
        <v>78</v>
      </c>
      <c r="B25" s="9"/>
    </row>
    <row r="26" spans="1:6" x14ac:dyDescent="0.25">
      <c r="A26" s="9" t="s">
        <v>80</v>
      </c>
      <c r="D26" t="s">
        <v>79</v>
      </c>
    </row>
    <row r="28" spans="1:6" s="1" customFormat="1" ht="14.25" x14ac:dyDescent="0.2">
      <c r="F28" s="2"/>
    </row>
    <row r="29" spans="1:6" s="1" customFormat="1" ht="20.25" x14ac:dyDescent="0.3">
      <c r="A29" s="3" t="s">
        <v>0</v>
      </c>
      <c r="B29" s="3"/>
      <c r="C29" s="4"/>
      <c r="D29" s="3" t="s">
        <v>1</v>
      </c>
      <c r="F29" s="5" t="s">
        <v>2</v>
      </c>
    </row>
    <row r="30" spans="1:6" s="1" customFormat="1" ht="14.25" x14ac:dyDescent="0.2">
      <c r="A30" s="6" t="s">
        <v>2</v>
      </c>
      <c r="F30" s="16" t="str">
        <f>A31</f>
        <v>CH04 3078 7007 7190 5090 2</v>
      </c>
    </row>
    <row r="31" spans="1:6" s="7" customFormat="1" ht="12.75" x14ac:dyDescent="0.2">
      <c r="A31" s="7" t="str">
        <f>A2</f>
        <v>CH04 3078 7007 7190 5090 2</v>
      </c>
      <c r="B31" s="5"/>
      <c r="F31" s="16" t="str">
        <f>A32</f>
        <v>fotoleu</v>
      </c>
    </row>
    <row r="32" spans="1:6" s="1" customFormat="1" ht="14.25" x14ac:dyDescent="0.2">
      <c r="A32" s="7" t="str">
        <f>A3</f>
        <v>fotoleu</v>
      </c>
      <c r="B32" s="2"/>
      <c r="F32" s="16" t="str">
        <f>A33</f>
        <v>Inh. Anita Imfeld-Leu</v>
      </c>
    </row>
    <row r="33" spans="1:7" s="1" customFormat="1" ht="14.25" x14ac:dyDescent="0.2">
      <c r="A33" s="7" t="str">
        <f>A4</f>
        <v>Inh. Anita Imfeld-Leu</v>
      </c>
      <c r="B33" s="2"/>
      <c r="F33" s="16" t="str">
        <f>A34</f>
        <v>Bösch 63, 6331 Hünenberg</v>
      </c>
    </row>
    <row r="34" spans="1:7" s="1" customFormat="1" ht="14.25" x14ac:dyDescent="0.2">
      <c r="A34" s="7" t="str">
        <f>A5</f>
        <v>Bösch 63, 6331 Hünenberg</v>
      </c>
      <c r="B34" s="2"/>
      <c r="F34" s="2"/>
    </row>
    <row r="35" spans="1:7" s="1" customFormat="1" ht="14.25" x14ac:dyDescent="0.2">
      <c r="A35" s="7"/>
      <c r="F35" s="5" t="s">
        <v>3</v>
      </c>
    </row>
    <row r="36" spans="1:7" s="1" customFormat="1" ht="14.25" x14ac:dyDescent="0.2">
      <c r="A36" s="6" t="s">
        <v>4</v>
      </c>
      <c r="F36" s="2" t="str">
        <f>A8</f>
        <v>KF1515</v>
      </c>
    </row>
    <row r="37" spans="1:7" s="1" customFormat="1" ht="14.25" x14ac:dyDescent="0.2">
      <c r="A37" s="7" t="str">
        <f>A12</f>
        <v>Christian Imfeld</v>
      </c>
      <c r="B37" s="5"/>
      <c r="F37" s="2" t="str">
        <f>A9</f>
        <v>Datum 01.10.2020</v>
      </c>
      <c r="G37" s="8"/>
    </row>
    <row r="38" spans="1:7" s="1" customFormat="1" ht="14.25" x14ac:dyDescent="0.2">
      <c r="A38" s="7" t="str">
        <f>A13</f>
        <v>Eichholzweg 9</v>
      </c>
      <c r="B38" s="2"/>
      <c r="F38" s="2"/>
    </row>
    <row r="39" spans="1:7" s="1" customFormat="1" ht="14.25" x14ac:dyDescent="0.2">
      <c r="A39" s="7" t="str">
        <f>A14</f>
        <v>6312 Steinhausen</v>
      </c>
      <c r="B39" s="2"/>
      <c r="F39" s="5" t="s">
        <v>4</v>
      </c>
    </row>
    <row r="40" spans="1:7" s="1" customFormat="1" ht="14.25" x14ac:dyDescent="0.2">
      <c r="A40" s="7"/>
      <c r="B40" s="5"/>
      <c r="F40" s="16" t="str">
        <f>A37</f>
        <v>Christian Imfeld</v>
      </c>
    </row>
    <row r="41" spans="1:7" s="1" customFormat="1" ht="14.25" x14ac:dyDescent="0.2">
      <c r="A41" s="6" t="s">
        <v>5</v>
      </c>
      <c r="B41" s="6" t="s">
        <v>6</v>
      </c>
      <c r="D41" s="5" t="s">
        <v>5</v>
      </c>
      <c r="E41" s="5" t="s">
        <v>6</v>
      </c>
      <c r="F41" s="16" t="str">
        <f>A38</f>
        <v>Eichholzweg 9</v>
      </c>
    </row>
    <row r="42" spans="1:7" s="1" customFormat="1" ht="14.25" x14ac:dyDescent="0.2">
      <c r="A42" s="7" t="str">
        <f>A18</f>
        <v>CHF</v>
      </c>
      <c r="B42" s="9">
        <f>A17</f>
        <v>12</v>
      </c>
      <c r="D42" s="2" t="str">
        <f>A18</f>
        <v>CHF</v>
      </c>
      <c r="E42" s="17">
        <f>A17</f>
        <v>12</v>
      </c>
      <c r="F42" s="16" t="str">
        <f>A39</f>
        <v>6312 Steinhausen</v>
      </c>
    </row>
    <row r="43" spans="1:7" s="1" customFormat="1" ht="14.25" x14ac:dyDescent="0.2">
      <c r="A43" s="7"/>
      <c r="B43" s="9"/>
      <c r="D43" s="2"/>
      <c r="E43" s="10"/>
      <c r="F43" s="2"/>
    </row>
    <row r="44" spans="1:7" s="1" customFormat="1" ht="16.5" x14ac:dyDescent="0.3">
      <c r="A44" s="11"/>
      <c r="B44"/>
      <c r="C44" s="12" t="s">
        <v>8</v>
      </c>
      <c r="D44"/>
      <c r="F44" s="2"/>
    </row>
    <row r="45" spans="1:7" s="1" customFormat="1" ht="16.5" x14ac:dyDescent="0.3">
      <c r="B45" s="11"/>
      <c r="D45"/>
      <c r="E45"/>
      <c r="F45" s="2"/>
    </row>
    <row r="46" spans="1:7" s="1" customFormat="1" x14ac:dyDescent="0.25">
      <c r="A46"/>
      <c r="F46" s="2"/>
    </row>
    <row r="47" spans="1:7" s="1" customFormat="1" x14ac:dyDescent="0.25">
      <c r="A47"/>
      <c r="B47"/>
      <c r="C47"/>
      <c r="D47"/>
      <c r="E47"/>
      <c r="F47" s="2"/>
    </row>
    <row r="48" spans="1:7" ht="16.5" x14ac:dyDescent="0.3">
      <c r="A48" s="11"/>
    </row>
    <row r="49" spans="1:6" ht="16.5" x14ac:dyDescent="0.3">
      <c r="A49" s="11"/>
      <c r="B49" s="11"/>
    </row>
    <row r="50" spans="1:6" ht="16.5" x14ac:dyDescent="0.3">
      <c r="A50" s="14"/>
      <c r="B50" s="11"/>
    </row>
    <row r="51" spans="1:6" x14ac:dyDescent="0.25">
      <c r="B51" s="14"/>
      <c r="C51" s="14"/>
      <c r="D51" s="14"/>
      <c r="E51" s="14"/>
    </row>
    <row r="52" spans="1:6" s="14" customFormat="1" x14ac:dyDescent="0.25">
      <c r="A52"/>
      <c r="B52"/>
      <c r="C52"/>
      <c r="D52"/>
      <c r="E52"/>
      <c r="F52" s="1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3067-15AF-4F78-98EF-8797820B2B84}">
  <sheetPr codeName="Sheet3"/>
  <dimension ref="A2:H48"/>
  <sheetViews>
    <sheetView tabSelected="1" workbookViewId="0">
      <selection activeCell="C6" sqref="C6"/>
    </sheetView>
  </sheetViews>
  <sheetFormatPr defaultRowHeight="15" x14ac:dyDescent="0.25"/>
  <cols>
    <col min="1" max="1" width="73.5703125" style="18" customWidth="1"/>
    <col min="2" max="2" width="31.140625" style="18" customWidth="1"/>
    <col min="3" max="6" width="31.140625" customWidth="1"/>
  </cols>
  <sheetData>
    <row r="2" spans="2:4" x14ac:dyDescent="0.25">
      <c r="B2" s="18" t="s">
        <v>50</v>
      </c>
      <c r="C2" t="s">
        <v>51</v>
      </c>
    </row>
    <row r="4" spans="2:4" x14ac:dyDescent="0.25">
      <c r="B4" s="18" t="s">
        <v>52</v>
      </c>
    </row>
    <row r="5" spans="2:4" x14ac:dyDescent="0.25">
      <c r="B5" s="25" t="s">
        <v>53</v>
      </c>
      <c r="C5">
        <v>20</v>
      </c>
      <c r="D5" t="s">
        <v>77</v>
      </c>
    </row>
    <row r="6" spans="2:4" x14ac:dyDescent="0.25">
      <c r="B6" s="25" t="s">
        <v>54</v>
      </c>
      <c r="C6">
        <v>20</v>
      </c>
    </row>
    <row r="7" spans="2:4" x14ac:dyDescent="0.25">
      <c r="B7" s="25" t="s">
        <v>55</v>
      </c>
      <c r="C7">
        <v>220</v>
      </c>
    </row>
    <row r="8" spans="2:4" x14ac:dyDescent="0.25">
      <c r="B8" s="25" t="s">
        <v>56</v>
      </c>
      <c r="C8">
        <v>220</v>
      </c>
    </row>
    <row r="18" spans="1:8" x14ac:dyDescent="0.25">
      <c r="A18" s="26" t="s">
        <v>66</v>
      </c>
      <c r="B18" s="23" t="s">
        <v>39</v>
      </c>
      <c r="C18" s="24" t="s">
        <v>40</v>
      </c>
      <c r="D18" s="24" t="s">
        <v>41</v>
      </c>
      <c r="E18" s="24" t="s">
        <v>46</v>
      </c>
      <c r="F18" s="24" t="s">
        <v>47</v>
      </c>
    </row>
    <row r="19" spans="1:8" x14ac:dyDescent="0.25">
      <c r="A19" s="20"/>
      <c r="B19" s="22"/>
      <c r="C19" s="22"/>
      <c r="D19" s="22"/>
      <c r="E19" s="22"/>
      <c r="F19" s="22"/>
      <c r="G19" s="21"/>
      <c r="H19" s="21"/>
    </row>
    <row r="20" spans="1:8" ht="120" x14ac:dyDescent="0.25">
      <c r="A20" s="20" t="s">
        <v>94</v>
      </c>
      <c r="B20" s="22" t="s">
        <v>35</v>
      </c>
      <c r="C20" s="22" t="s">
        <v>36</v>
      </c>
      <c r="D20" s="22" t="s">
        <v>49</v>
      </c>
      <c r="E20" s="22" t="s">
        <v>71</v>
      </c>
      <c r="F20" s="22" t="s">
        <v>45</v>
      </c>
      <c r="G20" s="21"/>
      <c r="H20" s="21"/>
    </row>
    <row r="21" spans="1:8" ht="120" x14ac:dyDescent="0.25">
      <c r="A21" s="20" t="s">
        <v>93</v>
      </c>
      <c r="B21" s="22" t="s">
        <v>35</v>
      </c>
      <c r="C21" s="22" t="s">
        <v>36</v>
      </c>
      <c r="D21" s="22" t="s">
        <v>49</v>
      </c>
      <c r="E21" s="22" t="s">
        <v>71</v>
      </c>
      <c r="F21" s="22" t="s">
        <v>45</v>
      </c>
      <c r="G21" s="21"/>
      <c r="H21" s="21"/>
    </row>
    <row r="22" spans="1:8" ht="120" x14ac:dyDescent="0.25">
      <c r="A22" s="20" t="s">
        <v>92</v>
      </c>
      <c r="B22" s="22" t="s">
        <v>35</v>
      </c>
      <c r="C22" s="22" t="s">
        <v>36</v>
      </c>
      <c r="D22" s="22" t="s">
        <v>49</v>
      </c>
      <c r="E22" s="22" t="s">
        <v>71</v>
      </c>
      <c r="F22" s="22" t="s">
        <v>45</v>
      </c>
      <c r="G22" s="21"/>
      <c r="H22" s="21"/>
    </row>
    <row r="23" spans="1:8" ht="120" x14ac:dyDescent="0.25">
      <c r="A23" s="20" t="s">
        <v>91</v>
      </c>
      <c r="B23" s="22" t="s">
        <v>35</v>
      </c>
      <c r="C23" s="22" t="s">
        <v>36</v>
      </c>
      <c r="D23" s="22" t="s">
        <v>49</v>
      </c>
      <c r="E23" s="22" t="s">
        <v>71</v>
      </c>
      <c r="F23" s="22" t="s">
        <v>45</v>
      </c>
      <c r="G23" s="21"/>
      <c r="H23" s="21"/>
    </row>
    <row r="24" spans="1:8" ht="120" x14ac:dyDescent="0.25">
      <c r="A24" s="20" t="s">
        <v>90</v>
      </c>
      <c r="B24" s="22" t="s">
        <v>35</v>
      </c>
      <c r="C24" s="22" t="s">
        <v>36</v>
      </c>
      <c r="D24" s="22" t="s">
        <v>49</v>
      </c>
      <c r="E24" s="22" t="s">
        <v>71</v>
      </c>
      <c r="F24" s="22" t="s">
        <v>45</v>
      </c>
      <c r="G24" s="21"/>
      <c r="H24" s="21"/>
    </row>
    <row r="25" spans="1:8" ht="120" x14ac:dyDescent="0.25">
      <c r="A25" s="20" t="s">
        <v>89</v>
      </c>
      <c r="B25" s="22" t="s">
        <v>35</v>
      </c>
      <c r="C25" s="22" t="s">
        <v>36</v>
      </c>
      <c r="D25" s="22" t="s">
        <v>49</v>
      </c>
      <c r="E25" s="22" t="s">
        <v>71</v>
      </c>
      <c r="F25" s="22" t="s">
        <v>45</v>
      </c>
      <c r="G25" s="21"/>
      <c r="H25" s="21"/>
    </row>
    <row r="26" spans="1:8" ht="120" x14ac:dyDescent="0.25">
      <c r="A26" s="20" t="s">
        <v>88</v>
      </c>
      <c r="B26" s="22" t="s">
        <v>35</v>
      </c>
      <c r="C26" s="22" t="s">
        <v>36</v>
      </c>
      <c r="D26" s="22" t="s">
        <v>49</v>
      </c>
      <c r="E26" s="22" t="s">
        <v>71</v>
      </c>
      <c r="F26" s="22" t="s">
        <v>45</v>
      </c>
      <c r="G26" s="21"/>
      <c r="H26" s="21"/>
    </row>
    <row r="27" spans="1:8" ht="120" x14ac:dyDescent="0.25">
      <c r="A27" s="20" t="s">
        <v>87</v>
      </c>
      <c r="B27" s="22" t="s">
        <v>35</v>
      </c>
      <c r="C27" s="22" t="s">
        <v>36</v>
      </c>
      <c r="D27" s="22" t="s">
        <v>49</v>
      </c>
      <c r="E27" s="22" t="s">
        <v>71</v>
      </c>
      <c r="F27" s="22" t="s">
        <v>45</v>
      </c>
      <c r="G27" s="21"/>
      <c r="H27" s="21"/>
    </row>
    <row r="28" spans="1:8" ht="120" x14ac:dyDescent="0.25">
      <c r="A28" s="20" t="s">
        <v>86</v>
      </c>
      <c r="B28" s="22" t="s">
        <v>35</v>
      </c>
      <c r="C28" s="22" t="s">
        <v>36</v>
      </c>
      <c r="D28" s="22" t="s">
        <v>49</v>
      </c>
      <c r="E28" s="22" t="s">
        <v>71</v>
      </c>
      <c r="F28" s="22" t="s">
        <v>45</v>
      </c>
      <c r="G28" s="21"/>
      <c r="H28" s="21"/>
    </row>
    <row r="29" spans="1:8" ht="120" x14ac:dyDescent="0.25">
      <c r="A29" s="20" t="s">
        <v>85</v>
      </c>
      <c r="B29" s="22" t="s">
        <v>35</v>
      </c>
      <c r="C29" s="22" t="s">
        <v>36</v>
      </c>
      <c r="D29" s="22" t="s">
        <v>49</v>
      </c>
      <c r="E29" s="22" t="s">
        <v>71</v>
      </c>
      <c r="F29" s="22" t="s">
        <v>45</v>
      </c>
      <c r="G29" s="21"/>
      <c r="H29" s="21"/>
    </row>
    <row r="30" spans="1:8" ht="120" x14ac:dyDescent="0.25">
      <c r="A30" s="20" t="s">
        <v>84</v>
      </c>
      <c r="B30" s="22" t="s">
        <v>35</v>
      </c>
      <c r="C30" s="22" t="s">
        <v>36</v>
      </c>
      <c r="D30" s="22" t="s">
        <v>49</v>
      </c>
      <c r="E30" s="22" t="s">
        <v>71</v>
      </c>
      <c r="F30" s="22" t="s">
        <v>45</v>
      </c>
      <c r="G30" s="21"/>
      <c r="H30" s="21"/>
    </row>
    <row r="31" spans="1:8" ht="120" x14ac:dyDescent="0.25">
      <c r="A31" s="20" t="s">
        <v>83</v>
      </c>
      <c r="B31" s="22" t="s">
        <v>35</v>
      </c>
      <c r="C31" s="22" t="s">
        <v>36</v>
      </c>
      <c r="D31" s="22" t="s">
        <v>49</v>
      </c>
      <c r="E31" s="22" t="s">
        <v>71</v>
      </c>
      <c r="F31" s="22" t="s">
        <v>45</v>
      </c>
      <c r="G31" s="21"/>
      <c r="H31" s="21"/>
    </row>
    <row r="32" spans="1:8" ht="120" x14ac:dyDescent="0.25">
      <c r="A32" s="20" t="s">
        <v>82</v>
      </c>
      <c r="B32" s="22" t="s">
        <v>35</v>
      </c>
      <c r="C32" s="22" t="s">
        <v>36</v>
      </c>
      <c r="D32" s="22" t="s">
        <v>49</v>
      </c>
      <c r="E32" s="22" t="s">
        <v>71</v>
      </c>
      <c r="F32" s="22" t="s">
        <v>45</v>
      </c>
      <c r="G32" s="21"/>
      <c r="H32" s="21"/>
    </row>
    <row r="33" spans="1:8" ht="120" x14ac:dyDescent="0.25">
      <c r="A33" s="20" t="s">
        <v>81</v>
      </c>
      <c r="B33" s="22" t="s">
        <v>35</v>
      </c>
      <c r="C33" s="22" t="s">
        <v>36</v>
      </c>
      <c r="D33" s="22" t="s">
        <v>49</v>
      </c>
      <c r="E33" s="22" t="s">
        <v>71</v>
      </c>
      <c r="F33" s="22" t="s">
        <v>45</v>
      </c>
      <c r="G33" s="21"/>
      <c r="H33" s="21"/>
    </row>
    <row r="34" spans="1:8" ht="120" x14ac:dyDescent="0.25">
      <c r="A34" s="20" t="s">
        <v>70</v>
      </c>
      <c r="B34" s="22" t="s">
        <v>35</v>
      </c>
      <c r="C34" s="22" t="s">
        <v>36</v>
      </c>
      <c r="D34" s="22" t="s">
        <v>49</v>
      </c>
      <c r="E34" s="22" t="s">
        <v>71</v>
      </c>
      <c r="F34" s="22" t="s">
        <v>45</v>
      </c>
      <c r="G34" s="21"/>
      <c r="H34" s="21"/>
    </row>
    <row r="35" spans="1:8" ht="120" x14ac:dyDescent="0.25">
      <c r="A35" s="20" t="s">
        <v>65</v>
      </c>
      <c r="B35" s="22" t="s">
        <v>35</v>
      </c>
      <c r="C35" s="22" t="s">
        <v>36</v>
      </c>
      <c r="D35" s="22" t="s">
        <v>49</v>
      </c>
      <c r="E35" s="22" t="s">
        <v>63</v>
      </c>
      <c r="F35" s="22" t="s">
        <v>45</v>
      </c>
      <c r="G35" s="21"/>
      <c r="H35" s="21"/>
    </row>
    <row r="36" spans="1:8" ht="120" x14ac:dyDescent="0.25">
      <c r="A36" s="20" t="s">
        <v>64</v>
      </c>
      <c r="B36" s="22" t="s">
        <v>35</v>
      </c>
      <c r="C36" s="22" t="s">
        <v>36</v>
      </c>
      <c r="D36" s="22" t="s">
        <v>49</v>
      </c>
      <c r="E36" s="22" t="s">
        <v>63</v>
      </c>
      <c r="F36" s="22" t="s">
        <v>45</v>
      </c>
      <c r="G36" s="21"/>
      <c r="H36" s="21"/>
    </row>
    <row r="37" spans="1:8" ht="120" x14ac:dyDescent="0.25">
      <c r="A37" s="20" t="s">
        <v>62</v>
      </c>
      <c r="B37" s="22" t="s">
        <v>35</v>
      </c>
      <c r="C37" s="22" t="s">
        <v>36</v>
      </c>
      <c r="D37" s="22" t="s">
        <v>49</v>
      </c>
      <c r="E37" s="22" t="s">
        <v>63</v>
      </c>
      <c r="F37" s="22" t="s">
        <v>45</v>
      </c>
      <c r="G37" s="21"/>
      <c r="H37" s="21"/>
    </row>
    <row r="38" spans="1:8" ht="120" x14ac:dyDescent="0.25">
      <c r="A38" s="20" t="s">
        <v>61</v>
      </c>
      <c r="B38" s="22" t="s">
        <v>35</v>
      </c>
      <c r="C38" s="22" t="s">
        <v>36</v>
      </c>
      <c r="D38" s="21" t="s">
        <v>49</v>
      </c>
      <c r="E38" s="21" t="s">
        <v>44</v>
      </c>
      <c r="F38" s="21" t="s">
        <v>45</v>
      </c>
      <c r="G38" s="21"/>
      <c r="H38" s="21"/>
    </row>
    <row r="39" spans="1:8" ht="120" x14ac:dyDescent="0.25">
      <c r="A39" s="20" t="s">
        <v>60</v>
      </c>
      <c r="B39" s="22" t="s">
        <v>35</v>
      </c>
      <c r="C39" s="22" t="s">
        <v>36</v>
      </c>
      <c r="D39" s="21" t="s">
        <v>49</v>
      </c>
      <c r="E39" s="21" t="s">
        <v>44</v>
      </c>
      <c r="F39" s="21" t="s">
        <v>45</v>
      </c>
      <c r="G39" s="21"/>
      <c r="H39" s="21"/>
    </row>
    <row r="40" spans="1:8" ht="120" x14ac:dyDescent="0.25">
      <c r="A40" s="20" t="s">
        <v>59</v>
      </c>
      <c r="B40" s="22" t="s">
        <v>35</v>
      </c>
      <c r="C40" s="22" t="s">
        <v>36</v>
      </c>
      <c r="D40" s="21" t="s">
        <v>49</v>
      </c>
      <c r="E40" s="21" t="s">
        <v>44</v>
      </c>
      <c r="F40" s="21" t="s">
        <v>45</v>
      </c>
      <c r="G40" s="21"/>
      <c r="H40" s="21"/>
    </row>
    <row r="41" spans="1:8" ht="120" x14ac:dyDescent="0.25">
      <c r="A41" s="20" t="s">
        <v>58</v>
      </c>
      <c r="B41" s="22" t="s">
        <v>35</v>
      </c>
      <c r="C41" s="22" t="s">
        <v>36</v>
      </c>
      <c r="D41" s="21" t="s">
        <v>49</v>
      </c>
      <c r="E41" s="21" t="s">
        <v>44</v>
      </c>
      <c r="F41" s="21" t="s">
        <v>45</v>
      </c>
      <c r="G41" s="21"/>
      <c r="H41" s="21"/>
    </row>
    <row r="42" spans="1:8" ht="120" x14ac:dyDescent="0.25">
      <c r="A42" s="20" t="s">
        <v>57</v>
      </c>
      <c r="B42" s="22" t="s">
        <v>35</v>
      </c>
      <c r="C42" s="22" t="s">
        <v>36</v>
      </c>
      <c r="D42" s="21" t="s">
        <v>49</v>
      </c>
      <c r="E42" s="21" t="s">
        <v>44</v>
      </c>
      <c r="F42" s="21" t="s">
        <v>45</v>
      </c>
      <c r="G42" s="21"/>
      <c r="H42" s="21"/>
    </row>
    <row r="43" spans="1:8" ht="120" x14ac:dyDescent="0.25">
      <c r="A43" s="20" t="s">
        <v>48</v>
      </c>
      <c r="B43" s="22" t="s">
        <v>35</v>
      </c>
      <c r="C43" s="22" t="s">
        <v>36</v>
      </c>
      <c r="D43" s="21" t="s">
        <v>49</v>
      </c>
      <c r="E43" s="21" t="s">
        <v>44</v>
      </c>
      <c r="F43" s="21" t="s">
        <v>45</v>
      </c>
      <c r="G43" s="21"/>
      <c r="H43" s="21"/>
    </row>
    <row r="44" spans="1:8" ht="120" x14ac:dyDescent="0.25">
      <c r="A44" s="20" t="s">
        <v>42</v>
      </c>
      <c r="B44" s="22" t="s">
        <v>35</v>
      </c>
      <c r="C44" s="22" t="s">
        <v>36</v>
      </c>
      <c r="D44" s="21" t="s">
        <v>43</v>
      </c>
      <c r="E44" s="21" t="s">
        <v>44</v>
      </c>
      <c r="F44" s="21" t="s">
        <v>45</v>
      </c>
      <c r="G44" s="21"/>
      <c r="H44" s="21"/>
    </row>
    <row r="45" spans="1:8" ht="120" x14ac:dyDescent="0.25">
      <c r="A45" s="20" t="s">
        <v>38</v>
      </c>
      <c r="B45" s="22" t="s">
        <v>35</v>
      </c>
      <c r="C45" s="22" t="s">
        <v>36</v>
      </c>
      <c r="D45" s="21"/>
      <c r="E45" s="21"/>
      <c r="F45" s="21"/>
      <c r="G45" s="21"/>
      <c r="H45" s="21"/>
    </row>
    <row r="46" spans="1:8" x14ac:dyDescent="0.25">
      <c r="A46" s="20" t="s">
        <v>37</v>
      </c>
      <c r="B46" s="21"/>
      <c r="C46" s="21"/>
      <c r="D46" s="21"/>
      <c r="E46" s="21"/>
      <c r="F46" s="21"/>
      <c r="G46" s="21"/>
      <c r="H46" s="21"/>
    </row>
    <row r="47" spans="1:8" ht="120" x14ac:dyDescent="0.25">
      <c r="A47" s="20" t="s">
        <v>34</v>
      </c>
      <c r="B47" s="22" t="s">
        <v>35</v>
      </c>
      <c r="C47" s="22" t="s">
        <v>36</v>
      </c>
      <c r="D47" s="21"/>
      <c r="E47" s="21"/>
      <c r="F47" s="21"/>
      <c r="G47" s="21"/>
      <c r="H47" s="21"/>
    </row>
    <row r="48" spans="1:8" x14ac:dyDescent="0.25">
      <c r="A48" s="19" t="s">
        <v>32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SwissQRCode (old)</vt:lpstr>
      <vt:lpstr>SwissQRCode</vt:lpstr>
      <vt:lpstr>SwissQRCode-Debug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2020-06-15T08:02:59Z</dcterms:created>
  <dcterms:modified xsi:type="dcterms:W3CDTF">2021-01-02T21:17:03Z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2021-01-02T21:17:00Z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1bcfc738-1396-49a2-945c-fd061ea08efa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